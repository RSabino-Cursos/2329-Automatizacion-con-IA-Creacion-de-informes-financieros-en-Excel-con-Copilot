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329 - Automatización con IA Creación de informes financieros en Excel con Copilot\Archivo\"/>
    </mc:Choice>
  </mc:AlternateContent>
  <xr:revisionPtr revIDLastSave="0" documentId="8_{AE8682F6-11E7-4FB8-AE26-DF88F63D5949}" xr6:coauthVersionLast="47" xr6:coauthVersionMax="47" xr10:uidLastSave="{00000000-0000-0000-0000-000000000000}"/>
  <bookViews>
    <workbookView xWindow="-120" yWindow="-120" windowWidth="20640" windowHeight="11040" tabRatio="673" activeTab="2" xr2:uid="{A0E7B260-FC39-4ED8-B2CA-C7F878CFC1D3}"/>
  </bookViews>
  <sheets>
    <sheet name="Análisis_Proveedores" sheetId="1" r:id="rId1"/>
    <sheet name="Nuevos_Pedidos" sheetId="7" r:id="rId2"/>
    <sheet name="Distribución_Pedido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8" l="1"/>
  <c r="E10" i="8"/>
  <c r="E9" i="8"/>
  <c r="E8" i="8"/>
  <c r="E7" i="8"/>
  <c r="E6" i="8"/>
  <c r="E5" i="8"/>
  <c r="E4" i="8"/>
  <c r="E3" i="8"/>
  <c r="D11" i="8" a="1"/>
  <c r="D11" i="8" s="1"/>
  <c r="D10" i="8" a="1"/>
  <c r="D10" i="8" s="1"/>
  <c r="D9" i="8" a="1"/>
  <c r="D9" i="8" s="1"/>
  <c r="D8" i="8" a="1"/>
  <c r="D8" i="8" s="1"/>
  <c r="D7" i="8" a="1"/>
  <c r="D7" i="8" s="1"/>
  <c r="D6" i="8" a="1"/>
  <c r="D6" i="8" s="1"/>
  <c r="D5" i="8" a="1"/>
  <c r="D5" i="8" s="1"/>
  <c r="D4" i="8" a="1"/>
  <c r="D4" i="8" s="1"/>
  <c r="D3" i="8" a="1"/>
  <c r="D3" i="8" s="1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<sst xmlns="http://schemas.openxmlformats.org/spreadsheetml/2006/main" count="48" uniqueCount="34">
  <si>
    <t>Código</t>
  </si>
  <si>
    <t>Sudeste</t>
  </si>
  <si>
    <t>Nordeste</t>
  </si>
  <si>
    <t>Distribución de los nuevos pedidos pendientes</t>
  </si>
  <si>
    <t>Nombre</t>
  </si>
  <si>
    <t>Ciudad</t>
  </si>
  <si>
    <t>Cantidad</t>
  </si>
  <si>
    <t>Mensaje</t>
  </si>
  <si>
    <t>Proveedor A</t>
  </si>
  <si>
    <t>Proveedor B</t>
  </si>
  <si>
    <t>Proveedor C</t>
  </si>
  <si>
    <t>Proveedor D</t>
  </si>
  <si>
    <t>Proveedor E</t>
  </si>
  <si>
    <t>Proveedor F</t>
  </si>
  <si>
    <t>Proveedor G</t>
  </si>
  <si>
    <t>Proveedor H</t>
  </si>
  <si>
    <t>Proveedor I</t>
  </si>
  <si>
    <t>Análisis final de resultados por proveedor - Producto A - Último trimestre</t>
  </si>
  <si>
    <t>Cantidades entregadas</t>
  </si>
  <si>
    <t>Índice de errores</t>
  </si>
  <si>
    <t>Índice de retrasos</t>
  </si>
  <si>
    <t>Nuevos pedidos pendientes - Producto A - Trimestre</t>
  </si>
  <si>
    <t>Región</t>
  </si>
  <si>
    <t>Fecha de entrega</t>
  </si>
  <si>
    <t>Sur</t>
  </si>
  <si>
    <t>Nueva Esperanza</t>
  </si>
  <si>
    <t>Santa Aurora</t>
  </si>
  <si>
    <t>Villa del Sol</t>
  </si>
  <si>
    <t>San Horizonte</t>
  </si>
  <si>
    <t>Puerto Sereno</t>
  </si>
  <si>
    <t>Valle Verde</t>
  </si>
  <si>
    <t>Monte Claro</t>
  </si>
  <si>
    <t>Costa Azul</t>
  </si>
  <si>
    <t>Santa Unión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</si>
</sst>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2" fillId="2" borderId="0" xfId="0" applyFont="1" applyFill="1" applyAlignment="1">
      <alignment horizontal="center"/>
    </xf>
    <xf numFmtId="0" fontId="5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10" fontId="4" fillId="0" borderId="1" xfId="1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3" fontId="0" fillId="0" borderId="2" xfId="0" applyNumberFormat="1" applyBorder="1" applyAlignment="1">
      <alignment horizontal="right"/>
    </xf>
    <xf numFmtId="0" fontId="9" fillId="5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7" fillId="3" borderId="0" xfId="0" applyFont="1" applyFill="1" applyAlignment="1">
      <alignment horizontal="center" vertical="center"/>
    </xf>
    <xf numFmtId="1" fontId="0" fillId="0" borderId="2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1DAC-4A5D-4E77-B95E-ABB555C93FDC}">
  <sheetPr codeName="Planilha1"/>
  <dimension ref="A1:G11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7.42578125" bestFit="1" customWidth="1"/>
    <col min="2" max="2" width="12.140625" bestFit="1" customWidth="1"/>
    <col min="3" max="3" width="16.85546875" bestFit="1" customWidth="1"/>
    <col min="4" max="4" width="15.140625" customWidth="1"/>
    <col min="5" max="5" width="22.5703125" bestFit="1" customWidth="1"/>
    <col min="6" max="6" width="16.5703125" bestFit="1" customWidth="1"/>
    <col min="7" max="7" width="17.5703125" bestFit="1" customWidth="1"/>
  </cols>
  <sheetData>
    <row r="1" spans="1:7" ht="18.75" x14ac:dyDescent="0.3">
      <c r="A1" s="14" t="s">
        <v>17</v>
      </c>
      <c r="B1" s="14"/>
      <c r="C1" s="14"/>
      <c r="D1" s="14"/>
      <c r="E1" s="14"/>
      <c r="F1" s="14"/>
      <c r="G1" s="14"/>
    </row>
    <row r="2" spans="1:7" s="1" customFormat="1" ht="15.75" x14ac:dyDescent="0.25">
      <c r="A2" s="7" t="s">
        <v>0</v>
      </c>
      <c r="B2" s="7" t="s">
        <v>4</v>
      </c>
      <c r="C2" s="7" t="s">
        <v>5</v>
      </c>
      <c r="D2" s="7" t="s">
        <v>22</v>
      </c>
      <c r="E2" s="7" t="s">
        <v>18</v>
      </c>
      <c r="F2" s="7" t="s">
        <v>19</v>
      </c>
      <c r="G2" s="7" t="s">
        <v>20</v>
      </c>
    </row>
    <row r="3" spans="1:7" ht="15.75" x14ac:dyDescent="0.25">
      <c r="A3" s="8">
        <v>2000</v>
      </c>
      <c r="B3" s="9" t="s">
        <v>8</v>
      </c>
      <c r="C3" s="9" t="s">
        <v>25</v>
      </c>
      <c r="D3" s="9" t="s">
        <v>24</v>
      </c>
      <c r="E3" s="10">
        <v>3568</v>
      </c>
      <c r="F3" s="11">
        <v>0.12</v>
      </c>
      <c r="G3" s="11">
        <v>0.19</v>
      </c>
    </row>
    <row r="4" spans="1:7" ht="15.75" x14ac:dyDescent="0.25">
      <c r="A4" s="8">
        <v>2001</v>
      </c>
      <c r="B4" s="9" t="s">
        <v>9</v>
      </c>
      <c r="C4" s="9" t="s">
        <v>26</v>
      </c>
      <c r="D4" s="9" t="s">
        <v>1</v>
      </c>
      <c r="E4" s="10">
        <v>3096</v>
      </c>
      <c r="F4" s="11">
        <v>0.13</v>
      </c>
      <c r="G4" s="11">
        <v>0.15</v>
      </c>
    </row>
    <row r="5" spans="1:7" ht="15.75" x14ac:dyDescent="0.25">
      <c r="A5" s="12">
        <v>2002</v>
      </c>
      <c r="B5" s="13" t="s">
        <v>10</v>
      </c>
      <c r="C5" s="13" t="s">
        <v>27</v>
      </c>
      <c r="D5" s="13" t="s">
        <v>2</v>
      </c>
      <c r="E5" s="10">
        <v>1229</v>
      </c>
      <c r="F5" s="11">
        <v>0.11</v>
      </c>
      <c r="G5" s="11">
        <v>0.15</v>
      </c>
    </row>
    <row r="6" spans="1:7" ht="15.75" x14ac:dyDescent="0.25">
      <c r="A6" s="12">
        <v>2003</v>
      </c>
      <c r="B6" s="13" t="s">
        <v>11</v>
      </c>
      <c r="C6" s="13" t="s">
        <v>28</v>
      </c>
      <c r="D6" s="13" t="s">
        <v>24</v>
      </c>
      <c r="E6" s="10">
        <v>937</v>
      </c>
      <c r="F6" s="11">
        <v>0.05</v>
      </c>
      <c r="G6" s="11">
        <v>0.06</v>
      </c>
    </row>
    <row r="7" spans="1:7" ht="15.75" x14ac:dyDescent="0.25">
      <c r="A7" s="12">
        <v>2004</v>
      </c>
      <c r="B7" s="13" t="s">
        <v>12</v>
      </c>
      <c r="C7" s="13" t="s">
        <v>29</v>
      </c>
      <c r="D7" s="13" t="s">
        <v>1</v>
      </c>
      <c r="E7" s="10">
        <v>521</v>
      </c>
      <c r="F7" s="11">
        <v>0.15</v>
      </c>
      <c r="G7" s="11">
        <v>7.0000000000000007E-2</v>
      </c>
    </row>
    <row r="8" spans="1:7" ht="15.75" x14ac:dyDescent="0.25">
      <c r="A8" s="12">
        <v>2005</v>
      </c>
      <c r="B8" s="13" t="s">
        <v>13</v>
      </c>
      <c r="C8" s="13" t="s">
        <v>30</v>
      </c>
      <c r="D8" s="13" t="s">
        <v>2</v>
      </c>
      <c r="E8" s="10">
        <v>1844</v>
      </c>
      <c r="F8" s="11">
        <v>0.12</v>
      </c>
      <c r="G8" s="11">
        <v>0.09</v>
      </c>
    </row>
    <row r="9" spans="1:7" ht="15.75" x14ac:dyDescent="0.25">
      <c r="A9" s="12">
        <v>2006</v>
      </c>
      <c r="B9" s="13" t="s">
        <v>14</v>
      </c>
      <c r="C9" s="13" t="s">
        <v>31</v>
      </c>
      <c r="D9" s="13" t="s">
        <v>24</v>
      </c>
      <c r="E9" s="10">
        <v>1260</v>
      </c>
      <c r="F9" s="11">
        <v>0.13</v>
      </c>
      <c r="G9" s="11">
        <v>0.15</v>
      </c>
    </row>
    <row r="10" spans="1:7" ht="15.75" x14ac:dyDescent="0.25">
      <c r="A10" s="12">
        <v>2007</v>
      </c>
      <c r="B10" s="13" t="s">
        <v>15</v>
      </c>
      <c r="C10" s="13" t="s">
        <v>32</v>
      </c>
      <c r="D10" s="13" t="s">
        <v>1</v>
      </c>
      <c r="E10" s="10">
        <v>670</v>
      </c>
      <c r="F10" s="11">
        <v>0.1</v>
      </c>
      <c r="G10" s="11">
        <v>0.06</v>
      </c>
    </row>
    <row r="11" spans="1:7" ht="15.75" x14ac:dyDescent="0.25">
      <c r="A11" s="12">
        <v>2008</v>
      </c>
      <c r="B11" s="13" t="s">
        <v>16</v>
      </c>
      <c r="C11" s="13" t="s">
        <v>33</v>
      </c>
      <c r="D11" s="13" t="s">
        <v>2</v>
      </c>
      <c r="E11" s="10">
        <v>2164</v>
      </c>
      <c r="F11" s="11">
        <v>0.14000000000000001</v>
      </c>
      <c r="G11" s="11">
        <v>0.03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4801-3DBA-468D-AAB2-38513BFD8091}">
  <dimension ref="A1:F7"/>
  <sheetViews>
    <sheetView workbookViewId="0">
      <selection activeCell="B3" sqref="B3"/>
    </sheetView>
  </sheetViews>
  <sheetFormatPr baseColWidth="10" defaultColWidth="9.140625" defaultRowHeight="15" x14ac:dyDescent="0.25"/>
  <cols>
    <col min="1" max="1" width="28" customWidth="1"/>
    <col min="2" max="2" width="25" customWidth="1"/>
    <col min="3" max="3" width="27.140625" customWidth="1"/>
  </cols>
  <sheetData>
    <row r="1" spans="1:6" ht="24" x14ac:dyDescent="0.4">
      <c r="A1" s="15" t="s">
        <v>21</v>
      </c>
      <c r="B1" s="15"/>
      <c r="C1" s="15"/>
      <c r="D1" s="4"/>
      <c r="E1" s="4"/>
      <c r="F1" s="4"/>
    </row>
    <row r="2" spans="1:6" s="1" customFormat="1" x14ac:dyDescent="0.25">
      <c r="A2" s="3" t="s">
        <v>22</v>
      </c>
      <c r="B2" s="3" t="s">
        <v>6</v>
      </c>
      <c r="C2" s="3" t="s">
        <v>23</v>
      </c>
    </row>
    <row r="3" spans="1:6" s="2" customFormat="1" ht="21" x14ac:dyDescent="0.35">
      <c r="A3" s="2" t="s">
        <v>24</v>
      </c>
      <c r="B3" s="6">
        <v>2800</v>
      </c>
      <c r="C3" s="5">
        <v>46310</v>
      </c>
    </row>
    <row r="4" spans="1:6" s="2" customFormat="1" ht="21" x14ac:dyDescent="0.35">
      <c r="A4" s="2" t="s">
        <v>1</v>
      </c>
      <c r="B4" s="6">
        <v>5000</v>
      </c>
      <c r="C4" s="5">
        <v>46310</v>
      </c>
    </row>
    <row r="5" spans="1:6" s="2" customFormat="1" ht="21" x14ac:dyDescent="0.35">
      <c r="A5" s="2" t="s">
        <v>2</v>
      </c>
      <c r="B5" s="6">
        <v>3500</v>
      </c>
      <c r="C5" s="5">
        <v>46310</v>
      </c>
    </row>
    <row r="6" spans="1:6" s="2" customFormat="1" ht="21" x14ac:dyDescent="0.35"/>
    <row r="7" spans="1:6" s="2" customFormat="1" ht="21" x14ac:dyDescent="0.35"/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040E-C5A2-4B81-9234-6032CD318CBE}">
  <dimension ref="A1:L11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1" max="1" width="7.42578125" bestFit="1" customWidth="1"/>
    <col min="2" max="2" width="16.28515625" customWidth="1"/>
    <col min="3" max="3" width="20.85546875" customWidth="1"/>
    <col min="4" max="4" width="17.5703125" customWidth="1"/>
    <col min="5" max="5" width="38.140625" customWidth="1"/>
    <col min="6" max="6" width="13.85546875" bestFit="1" customWidth="1"/>
    <col min="7" max="7" width="12.7109375" bestFit="1" customWidth="1"/>
    <col min="8" max="8" width="13.85546875" bestFit="1" customWidth="1"/>
    <col min="9" max="9" width="11.42578125" bestFit="1" customWidth="1"/>
    <col min="10" max="10" width="35.140625" bestFit="1" customWidth="1"/>
  </cols>
  <sheetData>
    <row r="1" spans="1:12" ht="27.95" customHeight="1" x14ac:dyDescent="0.25">
      <c r="A1" s="20" t="s">
        <v>3</v>
      </c>
      <c r="B1" s="20"/>
      <c r="C1" s="20"/>
      <c r="D1" s="20"/>
      <c r="E1" s="20"/>
    </row>
    <row r="2" spans="1:12" s="1" customFormat="1" x14ac:dyDescent="0.25">
      <c r="A2" s="17" t="s">
        <v>0</v>
      </c>
      <c r="B2" s="17" t="s">
        <v>4</v>
      </c>
      <c r="C2" s="17" t="s">
        <v>5</v>
      </c>
      <c r="D2" s="17" t="s">
        <v>6</v>
      </c>
      <c r="E2" s="17" t="s">
        <v>7</v>
      </c>
      <c r="F2"/>
      <c r="G2"/>
      <c r="H2"/>
      <c r="I2"/>
      <c r="J2"/>
      <c r="K2"/>
      <c r="L2"/>
    </row>
    <row r="3" spans="1:12" ht="45" x14ac:dyDescent="0.25">
      <c r="A3" s="21">
        <f>Análisis_Proveedores!A3</f>
        <v>2000</v>
      </c>
      <c r="B3" s="18" t="str">
        <f>Análisis_Proveedores!B3</f>
        <v>Proveedor A</v>
      </c>
      <c r="C3" s="18" t="str">
        <f>Análisis_Proveedores!C3</f>
        <v>Nueva Esperanza</v>
      </c>
      <c r="D3" s="16" cm="1">
        <f t="array" ref="D3">_xlfn.LET(
    _xlpm.codes,Análisis_Proveedores!$A$3:$A$11,
    _xlpm.regs,Análisis_Proveedores!$D$3:$D$11,
    _xlpm.qty,Análisis_Proveedores!$E$3:$E$11,
    _xlpm.err,Análisis_Proveedores!$F$3:$F$11,
    _xlpm.delay,Análisis_Proveedores!$G$3:$G$11,
    _xlpm.code,A3,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1652</v>
      </c>
      <c r="E3" s="19" t="str">
        <f>"Distribución regional ponderada por entregas históricas, errores ("&amp;TEXT(_xlfn.XLOOKUP(A3,Análisis_Proveedores!$A$3:$A$11,Análisis_Proveedores!$F$3:$F$11),"0%")&amp;") y retrasos ("&amp;TEXT(_xlfn.XLOOKUP(A3,Análisis_Proveedores!$A$3:$A$11,Análisis_Proveedores!$G$3:$G$11),"0%")&amp;")."</f>
        <v>Distribución regional ponderada por entregas históricas, errores (12%) y retrasos (19%).</v>
      </c>
    </row>
    <row r="4" spans="1:12" ht="45" x14ac:dyDescent="0.25">
      <c r="A4" s="21">
        <f>Análisis_Proveedores!A4</f>
        <v>2001</v>
      </c>
      <c r="B4" s="18" t="str">
        <f>Análisis_Proveedores!B4</f>
        <v>Proveedor B</v>
      </c>
      <c r="C4" s="18" t="str">
        <f>Análisis_Proveedores!C4</f>
        <v>Santa Aurora</v>
      </c>
      <c r="D4" s="16" cm="1">
        <f t="array" ref="D4">_xlfn.LET(
    _xlpm.codes,Análisis_Proveedores!$A$3:$A$11,
    _xlpm.regs,Análisis_Proveedores!$D$3:$D$11,
    _xlpm.qty,Análisis_Proveedores!$E$3:$E$11,
    _xlpm.err,Análisis_Proveedores!$F$3:$F$11,
    _xlpm.delay,Análisis_Proveedores!$G$3:$G$11,
    _xlpm.code,A4,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3503</v>
      </c>
      <c r="E4" s="19" t="str">
        <f>"Distribución regional ponderada por entregas históricas, errores ("&amp;TEXT(_xlfn.XLOOKUP(A4,Análisis_Proveedores!$A$3:$A$11,Análisis_Proveedores!$F$3:$F$11),"0%")&amp;") y retrasos ("&amp;TEXT(_xlfn.XLOOKUP(A4,Análisis_Proveedores!$A$3:$A$11,Análisis_Proveedores!$G$3:$G$11),"0%")&amp;")."</f>
        <v>Distribución regional ponderada por entregas históricas, errores (13%) y retrasos (15%).</v>
      </c>
    </row>
    <row r="5" spans="1:12" ht="45" x14ac:dyDescent="0.25">
      <c r="A5" s="21">
        <f>Análisis_Proveedores!A5</f>
        <v>2002</v>
      </c>
      <c r="B5" s="18" t="str">
        <f>Análisis_Proveedores!B5</f>
        <v>Proveedor C</v>
      </c>
      <c r="C5" s="18" t="str">
        <f>Análisis_Proveedores!C5</f>
        <v>Villa del Sol</v>
      </c>
      <c r="D5" s="16" cm="1">
        <f t="array" ref="D5">_xlfn.LET(
    _xlpm.codes,Análisis_Proveedores!$A$3:$A$11,
    _xlpm.regs,Análisis_Proveedores!$D$3:$D$11,
    _xlpm.qty,Análisis_Proveedores!$E$3:$E$11,
    _xlpm.err,Análisis_Proveedores!$F$3:$F$11,
    _xlpm.delay,Análisis_Proveedores!$G$3:$G$11,
    _xlpm.code,A5,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773</v>
      </c>
      <c r="E5" s="19" t="str">
        <f>"Distribución regional ponderada por entregas históricas, errores ("&amp;TEXT(_xlfn.XLOOKUP(A5,Análisis_Proveedores!$A$3:$A$11,Análisis_Proveedores!$F$3:$F$11),"0%")&amp;") y retrasos ("&amp;TEXT(_xlfn.XLOOKUP(A5,Análisis_Proveedores!$A$3:$A$11,Análisis_Proveedores!$G$3:$G$11),"0%")&amp;")."</f>
        <v>Distribución regional ponderada por entregas históricas, errores (11%) y retrasos (15%).</v>
      </c>
    </row>
    <row r="6" spans="1:12" ht="45" x14ac:dyDescent="0.25">
      <c r="A6" s="21">
        <f>Análisis_Proveedores!A6</f>
        <v>2003</v>
      </c>
      <c r="B6" s="18" t="str">
        <f>Análisis_Proveedores!B6</f>
        <v>Proveedor D</v>
      </c>
      <c r="C6" s="18" t="str">
        <f>Análisis_Proveedores!C6</f>
        <v>San Horizonte</v>
      </c>
      <c r="D6" s="16" cm="1">
        <f t="array" ref="D6">_xlfn.LET(
    _xlpm.codes,Análisis_Proveedores!$A$3:$A$11,
    _xlpm.regs,Análisis_Proveedores!$D$3:$D$11,
    _xlpm.qty,Análisis_Proveedores!$E$3:$E$11,
    _xlpm.err,Análisis_Proveedores!$F$3:$F$11,
    _xlpm.delay,Análisis_Proveedores!$G$3:$G$11,
    _xlpm.code,A6,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543</v>
      </c>
      <c r="E6" s="19" t="str">
        <f>"Distribución regional ponderada por entregas históricas, errores ("&amp;TEXT(_xlfn.XLOOKUP(A6,Análisis_Proveedores!$A$3:$A$11,Análisis_Proveedores!$F$3:$F$11),"0%")&amp;") y retrasos ("&amp;TEXT(_xlfn.XLOOKUP(A6,Análisis_Proveedores!$A$3:$A$11,Análisis_Proveedores!$G$3:$G$11),"0%")&amp;")."</f>
        <v>Distribución regional ponderada por entregas históricas, errores (5%) y retrasos (6%).</v>
      </c>
    </row>
    <row r="7" spans="1:12" ht="45" x14ac:dyDescent="0.25">
      <c r="A7" s="21">
        <f>Análisis_Proveedores!A7</f>
        <v>2004</v>
      </c>
      <c r="B7" s="18" t="str">
        <f>Análisis_Proveedores!B7</f>
        <v>Proveedor E</v>
      </c>
      <c r="C7" s="18" t="str">
        <f>Análisis_Proveedores!C7</f>
        <v>Puerto Sereno</v>
      </c>
      <c r="D7" s="16" cm="1">
        <f t="array" ref="D7">_xlfn.LET(
    _xlpm.codes,Análisis_Proveedores!$A$3:$A$11,
    _xlpm.regs,Análisis_Proveedores!$D$3:$D$11,
    _xlpm.qty,Análisis_Proveedores!$E$3:$E$11,
    _xlpm.err,Análisis_Proveedores!$F$3:$F$11,
    _xlpm.delay,Análisis_Proveedores!$G$3:$G$11,
    _xlpm.code,A7,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630</v>
      </c>
      <c r="E7" s="19" t="str">
        <f>"Distribución regional ponderada por entregas históricas, errores ("&amp;TEXT(_xlfn.XLOOKUP(A7,Análisis_Proveedores!$A$3:$A$11,Análisis_Proveedores!$F$3:$F$11),"0%")&amp;") y retrasos ("&amp;TEXT(_xlfn.XLOOKUP(A7,Análisis_Proveedores!$A$3:$A$11,Análisis_Proveedores!$G$3:$G$11),"0%")&amp;")."</f>
        <v>Distribución regional ponderada por entregas históricas, errores (15%) y retrasos (7%).</v>
      </c>
    </row>
    <row r="8" spans="1:12" ht="45" x14ac:dyDescent="0.25">
      <c r="A8" s="21">
        <f>Análisis_Proveedores!A8</f>
        <v>2005</v>
      </c>
      <c r="B8" s="18" t="str">
        <f>Análisis_Proveedores!B8</f>
        <v>Proveedor F</v>
      </c>
      <c r="C8" s="18" t="str">
        <f>Análisis_Proveedores!C8</f>
        <v>Valle Verde</v>
      </c>
      <c r="D8" s="16" cm="1">
        <f t="array" ref="D8">_xlfn.LET(
    _xlpm.codes,Análisis_Proveedores!$A$3:$A$11,
    _xlpm.regs,Análisis_Proveedores!$D$3:$D$11,
    _xlpm.qty,Análisis_Proveedores!$E$3:$E$11,
    _xlpm.err,Análisis_Proveedores!$F$3:$F$11,
    _xlpm.delay,Análisis_Proveedores!$G$3:$G$11,
    _xlpm.code,A8,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1227</v>
      </c>
      <c r="E8" s="19" t="str">
        <f>"Distribución regional ponderada por entregas históricas, errores ("&amp;TEXT(_xlfn.XLOOKUP(A8,Análisis_Proveedores!$A$3:$A$11,Análisis_Proveedores!$F$3:$F$11),"0%")&amp;") y retrasos ("&amp;TEXT(_xlfn.XLOOKUP(A8,Análisis_Proveedores!$A$3:$A$11,Análisis_Proveedores!$G$3:$G$11),"0%")&amp;")."</f>
        <v>Distribución regional ponderada por entregas históricas, errores (12%) y retrasos (9%).</v>
      </c>
    </row>
    <row r="9" spans="1:12" ht="45" x14ac:dyDescent="0.25">
      <c r="A9" s="21">
        <f>Análisis_Proveedores!A9</f>
        <v>2006</v>
      </c>
      <c r="B9" s="18" t="str">
        <f>Análisis_Proveedores!B9</f>
        <v>Proveedor G</v>
      </c>
      <c r="C9" s="18" t="str">
        <f>Análisis_Proveedores!C9</f>
        <v>Monte Claro</v>
      </c>
      <c r="D9" s="16" cm="1">
        <f t="array" ref="D9">_xlfn.LET(
    _xlpm.codes,Análisis_Proveedores!$A$3:$A$11,
    _xlpm.regs,Análisis_Proveedores!$D$3:$D$11,
    _xlpm.qty,Análisis_Proveedores!$E$3:$E$11,
    _xlpm.err,Análisis_Proveedores!$F$3:$F$11,
    _xlpm.delay,Análisis_Proveedores!$G$3:$G$11,
    _xlpm.code,A9,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605</v>
      </c>
      <c r="E9" s="19" t="str">
        <f>"Distribución regional ponderada por entregas históricas, errores ("&amp;TEXT(_xlfn.XLOOKUP(A9,Análisis_Proveedores!$A$3:$A$11,Análisis_Proveedores!$F$3:$F$11),"0%")&amp;") y retrasos ("&amp;TEXT(_xlfn.XLOOKUP(A9,Análisis_Proveedores!$A$3:$A$11,Análisis_Proveedores!$G$3:$G$11),"0%")&amp;")."</f>
        <v>Distribución regional ponderada por entregas históricas, errores (13%) y retrasos (15%).</v>
      </c>
    </row>
    <row r="10" spans="1:12" ht="45" x14ac:dyDescent="0.25">
      <c r="A10" s="21">
        <f>Análisis_Proveedores!A10</f>
        <v>2007</v>
      </c>
      <c r="B10" s="18" t="str">
        <f>Análisis_Proveedores!B10</f>
        <v>Proveedor H</v>
      </c>
      <c r="C10" s="18" t="str">
        <f>Análisis_Proveedores!C10</f>
        <v>Costa Azul</v>
      </c>
      <c r="D10" s="16" cm="1">
        <f t="array" ref="D10">_xlfn.LET(
    _xlpm.codes,Análisis_Proveedores!$A$3:$A$11,
    _xlpm.regs,Análisis_Proveedores!$D$3:$D$11,
    _xlpm.qty,Análisis_Proveedores!$E$3:$E$11,
    _xlpm.err,Análisis_Proveedores!$F$3:$F$11,
    _xlpm.delay,Análisis_Proveedores!$G$3:$G$11,
    _xlpm.code,A10,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867</v>
      </c>
      <c r="E10" s="19" t="str">
        <f>"Distribución regional ponderada por entregas históricas, errores ("&amp;TEXT(_xlfn.XLOOKUP(A10,Análisis_Proveedores!$A$3:$A$11,Análisis_Proveedores!$F$3:$F$11),"0%")&amp;") y retrasos ("&amp;TEXT(_xlfn.XLOOKUP(A10,Análisis_Proveedores!$A$3:$A$11,Análisis_Proveedores!$G$3:$G$11),"0%")&amp;")."</f>
        <v>Distribución regional ponderada por entregas históricas, errores (10%) y retrasos (6%).</v>
      </c>
    </row>
    <row r="11" spans="1:12" ht="45" x14ac:dyDescent="0.25">
      <c r="A11" s="21">
        <f>Análisis_Proveedores!A11</f>
        <v>2008</v>
      </c>
      <c r="B11" s="18" t="str">
        <f>Análisis_Proveedores!B11</f>
        <v>Proveedor I</v>
      </c>
      <c r="C11" s="18" t="str">
        <f>Análisis_Proveedores!C11</f>
        <v>Santa Unión</v>
      </c>
      <c r="D11" s="16" cm="1">
        <f t="array" ref="D11">_xlfn.LET(
    _xlpm.codes,Análisis_Proveedores!$A$3:$A$11,
    _xlpm.regs,Análisis_Proveedores!$D$3:$D$11,
    _xlpm.qty,Análisis_Proveedores!$E$3:$E$11,
    _xlpm.err,Análisis_Proveedores!$F$3:$F$11,
    _xlpm.delay,Análisis_Proveedores!$G$3:$G$11,
    _xlpm.code,A11,
    _xlpm.reg,_xlfn.XLOOKUP(_xlpm.code,_xlpm.codes,_xlpm.regs),
    _xlpm.score,_xlpm.qty*(1-_xlpm.err)*(1-_xlpm.delay),
    _xlpm.regScores,_xlfn._xlws.FILTER(_xlpm.score,_xlpm.regs=_xlpm.reg),
    _xlpm.regCodes,_xlfn._xlws.FILTER(_xlpm.codes,_xlpm.regs=_xlpm.reg),
    _xlpm.providerScore,_xlfn.XLOOKUP(_xlpm.code,_xlpm.codes,_xlpm.score),
    _xlpm.pedido,_xlfn.XLOOKUP(_xlpm.reg,Nuevos_Pedidos!$A$3:$A$5,Nuevos_Pedidos!$B$3:$B$5),
    _xlpm.raw,_xlpm.pedido*_xlpm.providerScore/SUM(_xlpm.regScores),
    _xlpm.base,ROUNDDOWN(_xlpm.raw,0),
    _xlpm.regRaw,_xlpm.pedido*_xlpm.regScores/SUM(_xlpm.regScores),
    _xlpm.remainders,_xlpm.regRaw-ROUNDDOWN(_xlpm.regRaw,0),
    _xlpm.rem,_xlpm.raw-_xlpm.base,
    _xlpm.rank,1+SUMPRODUCT(--(_xlpm.remainders&gt;_xlpm.rem))+SUMPRODUCT(--(_xlpm.remainders=_xlpm.rem),--(_xlpm.regCodes&lt;_xlpm.code)),
    _xlpm.remaining,_xlpm.pedido-SUM(ROUNDDOWN(_xlpm.regRaw,0)),
    _xlpm.base+IF(_xlpm.rank&lt;=_xlpm.remaining,1,0)
  )</f>
        <v>1500</v>
      </c>
      <c r="E11" s="19" t="str">
        <f>"Distribución regional ponderada por entregas históricas, errores ("&amp;TEXT(_xlfn.XLOOKUP(A11,Análisis_Proveedores!$A$3:$A$11,Análisis_Proveedores!$F$3:$F$11),"0%")&amp;") y retrasos ("&amp;TEXT(_xlfn.XLOOKUP(A11,Análisis_Proveedores!$A$3:$A$11,Análisis_Proveedores!$G$3:$G$11),"0%")&amp;")."</f>
        <v>Distribución regional ponderada por entregas históricas, errores (14%) y retrasos (3%).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Análisis_Proveedores</vt:lpstr>
      <vt:lpstr>Nuevos_Pedidos</vt:lpstr>
      <vt:lpstr>Distribución_Pedidos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Sabino</dc:creator>
  <cp:lastModifiedBy>Roberto Araujo</cp:lastModifiedBy>
  <dcterms:created xsi:type="dcterms:W3CDTF">2024-11-04T17:42:20Z</dcterms:created>
  <dcterms:modified xsi:type="dcterms:W3CDTF">2026-07-21T03:18:12Z</dcterms:modified>
</cp:coreProperties>
</file>